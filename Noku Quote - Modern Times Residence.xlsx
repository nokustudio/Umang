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rn Times Quote" sheetId="1" state="visible" r:id="rId1"/>
  </sheets>
  <definedNames>
    <definedName name="_xlnm.Print_Titles" localSheetId="0">'Modern Times Quote'!$8:$8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₹ #,##0"/>
  </numFmts>
  <fonts count="18">
    <font>
      <name val="Calibri"/>
      <family val="2"/>
      <color theme="1"/>
      <sz val="11"/>
      <scheme val="minor"/>
    </font>
    <font>
      <name val="Georgia"/>
      <b val="1"/>
      <color rgb="002B2724"/>
      <sz val="22"/>
    </font>
    <font>
      <name val="Calibri"/>
      <color rgb="007A716B"/>
      <sz val="9"/>
    </font>
    <font>
      <name val="Calibri"/>
      <i val="1"/>
      <color rgb="007A716B"/>
      <sz val="9"/>
    </font>
    <font>
      <name val="Georgia"/>
      <b val="1"/>
      <color rgb="00A27B5C"/>
      <sz val="14"/>
    </font>
    <font>
      <name val="Calibri"/>
      <color rgb="007A716B"/>
      <sz val="9.5"/>
    </font>
    <font>
      <name val="Calibri"/>
      <color rgb="002B2724"/>
      <sz val="10"/>
    </font>
    <font>
      <name val="Calibri"/>
      <b val="1"/>
      <color rgb="00FFFFFF"/>
      <sz val="9.5"/>
    </font>
    <font>
      <name val="Calibri"/>
      <b val="1"/>
      <color rgb="00A27B5C"/>
      <sz val="9"/>
    </font>
    <font>
      <name val="Calibri"/>
      <color rgb="007A716B"/>
      <sz val="10"/>
    </font>
    <font>
      <name val="Calibri"/>
      <b val="1"/>
      <color rgb="002B2724"/>
      <sz val="10"/>
    </font>
    <font>
      <name val="Calibri"/>
      <b val="1"/>
      <color rgb="00A27B5C"/>
      <sz val="10"/>
    </font>
    <font>
      <name val="Calibri"/>
      <b val="1"/>
      <color rgb="007A716B"/>
      <sz val="10.5"/>
    </font>
    <font>
      <name val="Georgia"/>
      <b val="1"/>
      <color rgb="002B2724"/>
      <sz val="10.5"/>
    </font>
    <font>
      <name val="Georgia"/>
      <b val="1"/>
      <color rgb="002B2724"/>
      <sz val="12"/>
    </font>
    <font>
      <name val="Georgia"/>
      <b val="1"/>
      <color rgb="00A27B5C"/>
      <sz val="12"/>
    </font>
    <font>
      <name val="Calibri"/>
      <b val="1"/>
      <color rgb="002B2724"/>
      <sz val="9.5"/>
    </font>
    <font>
      <name val="Calibri"/>
      <i val="1"/>
      <color rgb="007A716B"/>
      <sz val="8.5"/>
    </font>
  </fonts>
  <fills count="5">
    <fill>
      <patternFill/>
    </fill>
    <fill>
      <patternFill patternType="gray125"/>
    </fill>
    <fill>
      <patternFill patternType="solid">
        <fgColor rgb="002B2724"/>
      </patternFill>
    </fill>
    <fill>
      <patternFill patternType="solid">
        <fgColor rgb="00EDE5DC"/>
      </patternFill>
    </fill>
    <fill>
      <patternFill patternType="solid">
        <fgColor rgb="00F5F0EA"/>
      </patternFill>
    </fill>
  </fills>
  <borders count="4">
    <border>
      <left/>
      <right/>
      <top/>
      <bottom/>
      <diagonal/>
    </border>
    <border>
      <bottom style="medium">
        <color rgb="00A27B5C"/>
      </bottom>
    </border>
    <border>
      <bottom style="hair">
        <color rgb="00DCD4CC"/>
      </bottom>
    </border>
    <border>
      <top style="medium">
        <color rgb="00A27B5C"/>
      </top>
      <bottom style="medium">
        <color rgb="00A27B5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0" fillId="0" borderId="1" pivotButton="0" quotePrefix="0" xfId="0"/>
    <xf numFmtId="0" fontId="4" fillId="0" borderId="0" applyAlignment="1" pivotButton="0" quotePrefix="0" xfId="0">
      <alignment vertical="center" indent="1"/>
    </xf>
    <xf numFmtId="165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indent="1"/>
    </xf>
    <xf numFmtId="0" fontId="2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vertical="center" indent="1"/>
    </xf>
    <xf numFmtId="0" fontId="0" fillId="3" borderId="0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indent="1"/>
    </xf>
    <xf numFmtId="0" fontId="10" fillId="0" borderId="2" applyAlignment="1" pivotButton="0" quotePrefix="0" xfId="0">
      <alignment vertical="center" indent="1"/>
    </xf>
    <xf numFmtId="0" fontId="11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0" fontId="14" fillId="4" borderId="3" applyAlignment="1" pivotButton="0" quotePrefix="0" xfId="0">
      <alignment horizontal="right" vertical="center"/>
    </xf>
    <xf numFmtId="0" fontId="0" fillId="4" borderId="3" pivotButton="0" quotePrefix="0" xfId="0"/>
    <xf numFmtId="166" fontId="15" fillId="4" borderId="3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 indent="1"/>
    </xf>
    <xf numFmtId="0" fontId="17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333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30" customWidth="1" min="4" max="4"/>
    <col width="15" customWidth="1" min="5" max="5"/>
    <col width="7" customWidth="1" min="6" max="6"/>
    <col width="14" customWidth="1" min="7" max="7"/>
    <col width="16" customWidth="1" min="8" max="8"/>
  </cols>
  <sheetData>
    <row r="1" ht="46" customHeight="1">
      <c r="A1" s="1" t="inlineStr">
        <is>
          <t>NOKU STUDIO</t>
        </is>
      </c>
    </row>
    <row r="2">
      <c r="A2" s="2" t="inlineStr">
        <is>
          <t>Bengaluru  ·  nokustudio.in</t>
        </is>
      </c>
    </row>
    <row r="3">
      <c r="A3" s="3" t="inlineStr">
        <is>
          <t>GSTIN:                    ·   Phone:                    ·   Email:</t>
        </is>
      </c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5" t="inlineStr">
        <is>
          <t>Modern Times Residence — Furniture Costing</t>
        </is>
      </c>
      <c r="G5" s="6" t="n">
        <v>46227</v>
      </c>
    </row>
    <row r="6">
      <c r="A6" s="7" t="inlineStr">
        <is>
          <t>Good Earth  ·  Kalamassery, Kochi</t>
        </is>
      </c>
      <c r="G6" s="8" t="inlineStr">
        <is>
          <t>Prepared for Good Earth, Kochi</t>
        </is>
      </c>
    </row>
    <row r="8" ht="22" customHeight="1">
      <c r="A8" s="9" t="inlineStr">
        <is>
          <t>Sr.</t>
        </is>
      </c>
      <c r="B8" s="10" t="inlineStr">
        <is>
          <t>Space</t>
        </is>
      </c>
      <c r="C8" s="10" t="inlineStr">
        <is>
          <t>Item</t>
        </is>
      </c>
      <c r="D8" s="10" t="inlineStr">
        <is>
          <t>Size</t>
        </is>
      </c>
      <c r="E8" s="10" t="inlineStr">
        <is>
          <t>Material</t>
        </is>
      </c>
      <c r="F8" s="9" t="inlineStr">
        <is>
          <t>Qty</t>
        </is>
      </c>
      <c r="G8" s="11" t="inlineStr">
        <is>
          <t>Rate (₹)</t>
        </is>
      </c>
      <c r="H8" s="11" t="inlineStr">
        <is>
          <t>Amount (₹)</t>
        </is>
      </c>
    </row>
    <row r="9" ht="19" customHeight="1">
      <c r="A9" s="12" t="inlineStr">
        <is>
          <t>LIVING ROOM</t>
        </is>
      </c>
      <c r="B9" s="13" t="n"/>
      <c r="C9" s="13" t="n"/>
      <c r="D9" s="13" t="n"/>
      <c r="E9" s="13" t="n"/>
      <c r="F9" s="13" t="n"/>
      <c r="G9" s="13" t="n"/>
      <c r="H9" s="13" t="n"/>
    </row>
    <row r="10" ht="17" customHeight="1">
      <c r="A10" s="14" t="n">
        <v>1</v>
      </c>
      <c r="B10" s="15" t="inlineStr">
        <is>
          <t>Living Room</t>
        </is>
      </c>
      <c r="C10" s="16" t="inlineStr">
        <is>
          <t>Bench 20 B1</t>
        </is>
      </c>
      <c r="D10" s="15" t="inlineStr">
        <is>
          <t>158 x 64 x 70 cm (H)  ·  SH-45cm</t>
        </is>
      </c>
      <c r="E10" s="15" t="inlineStr">
        <is>
          <t>Teak + Fabric</t>
        </is>
      </c>
      <c r="F10" s="17" t="n">
        <v>1</v>
      </c>
      <c r="G10" s="18" t="n">
        <v>38000</v>
      </c>
      <c r="H10" s="18">
        <f>F10*G10</f>
        <v/>
      </c>
    </row>
    <row r="11" ht="17" customHeight="1">
      <c r="A11" s="14" t="n">
        <v>2</v>
      </c>
      <c r="B11" s="15" t="inlineStr">
        <is>
          <t>Living Room</t>
        </is>
      </c>
      <c r="C11" s="16" t="inlineStr">
        <is>
          <t>Centre Table 23 A1</t>
        </is>
      </c>
      <c r="D11" s="15" t="inlineStr">
        <is>
          <t>102 x 68 x 45 cm (H)</t>
        </is>
      </c>
      <c r="E11" s="15" t="inlineStr">
        <is>
          <t>Teak</t>
        </is>
      </c>
      <c r="F11" s="17" t="n">
        <v>2</v>
      </c>
      <c r="G11" s="18" t="n">
        <v>29000</v>
      </c>
      <c r="H11" s="18">
        <f>F11*G11</f>
        <v/>
      </c>
    </row>
    <row r="12" ht="17" customHeight="1">
      <c r="A12" s="14" t="n">
        <v>3</v>
      </c>
      <c r="B12" s="15" t="inlineStr">
        <is>
          <t>Living Room</t>
        </is>
      </c>
      <c r="C12" s="16" t="inlineStr">
        <is>
          <t>Chair 06 A1</t>
        </is>
      </c>
      <c r="D12" s="15" t="inlineStr">
        <is>
          <t>65 x 83 x 91 cm (H)  ·  SH-39cm</t>
        </is>
      </c>
      <c r="E12" s="15" t="inlineStr">
        <is>
          <t>Teak + Fabric</t>
        </is>
      </c>
      <c r="F12" s="17" t="n">
        <v>1</v>
      </c>
      <c r="G12" s="18" t="n">
        <v>36000</v>
      </c>
      <c r="H12" s="18">
        <f>F12*G12</f>
        <v/>
      </c>
    </row>
    <row r="13" ht="17" customHeight="1">
      <c r="A13" s="14" t="n">
        <v>4</v>
      </c>
      <c r="B13" s="15" t="inlineStr">
        <is>
          <t>Living Room</t>
        </is>
      </c>
      <c r="C13" s="16" t="inlineStr">
        <is>
          <t>Side Table 31 A1</t>
        </is>
      </c>
      <c r="D13" s="15" t="inlineStr">
        <is>
          <t>45 x 45 x 45 cm (H)</t>
        </is>
      </c>
      <c r="E13" s="15" t="inlineStr">
        <is>
          <t>Teak</t>
        </is>
      </c>
      <c r="F13" s="17" t="n">
        <v>1</v>
      </c>
      <c r="G13" s="18" t="n">
        <v>10000</v>
      </c>
      <c r="H13" s="18">
        <f>F13*G13</f>
        <v/>
      </c>
    </row>
    <row r="14" ht="17" customHeight="1">
      <c r="A14" s="14" t="n">
        <v>5</v>
      </c>
      <c r="B14" s="15" t="inlineStr">
        <is>
          <t>Living Room</t>
        </is>
      </c>
      <c r="C14" s="16" t="inlineStr">
        <is>
          <t>Sofa 28 A1</t>
        </is>
      </c>
      <c r="D14" s="15" t="inlineStr">
        <is>
          <t>205 x 75 x 84 cm (H)  ·  SH-42cm</t>
        </is>
      </c>
      <c r="E14" s="15" t="inlineStr">
        <is>
          <t>Teak + Fabric</t>
        </is>
      </c>
      <c r="F14" s="17" t="n">
        <v>1</v>
      </c>
      <c r="G14" s="18" t="n">
        <v>101000</v>
      </c>
      <c r="H14" s="18">
        <f>F14*G14</f>
        <v/>
      </c>
    </row>
    <row r="15" ht="17" customHeight="1">
      <c r="A15" s="14" t="n">
        <v>6</v>
      </c>
      <c r="B15" s="15" t="inlineStr">
        <is>
          <t>Living Room</t>
        </is>
      </c>
      <c r="C15" s="16" t="inlineStr">
        <is>
          <t>TV Console 29 C1</t>
        </is>
      </c>
      <c r="D15" s="15" t="inlineStr">
        <is>
          <t>147 x 36 x 61 cm (H)</t>
        </is>
      </c>
      <c r="E15" s="15" t="inlineStr">
        <is>
          <t>Teak</t>
        </is>
      </c>
      <c r="F15" s="17" t="n">
        <v>1</v>
      </c>
      <c r="G15" s="18" t="n">
        <v>64000</v>
      </c>
      <c r="H15" s="18">
        <f>F15*G15</f>
        <v/>
      </c>
    </row>
    <row r="16" ht="19" customHeight="1">
      <c r="A16" s="12" t="inlineStr">
        <is>
          <t>DINING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 ht="17" customHeight="1">
      <c r="A17" s="14" t="n">
        <v>7</v>
      </c>
      <c r="B17" s="15" t="inlineStr">
        <is>
          <t>Dining</t>
        </is>
      </c>
      <c r="C17" s="16" t="inlineStr">
        <is>
          <t>Bench 03 A1</t>
        </is>
      </c>
      <c r="D17" s="15" t="inlineStr">
        <is>
          <t>141 x 38 x 45 cm (H)</t>
        </is>
      </c>
      <c r="E17" s="15" t="inlineStr">
        <is>
          <t>Teak + Fabric</t>
        </is>
      </c>
      <c r="F17" s="17" t="n">
        <v>1</v>
      </c>
      <c r="G17" s="18" t="n">
        <v>25000</v>
      </c>
      <c r="H17" s="18">
        <f>F17*G17</f>
        <v/>
      </c>
    </row>
    <row r="18" ht="17" customHeight="1">
      <c r="A18" s="14" t="n">
        <v>8</v>
      </c>
      <c r="B18" s="15" t="inlineStr">
        <is>
          <t>Dining</t>
        </is>
      </c>
      <c r="C18" s="16" t="inlineStr">
        <is>
          <t>Chair 09 A1</t>
        </is>
      </c>
      <c r="D18" s="15" t="inlineStr">
        <is>
          <t>50 x 50 x 77 cm (H)  ·  SH-45cm</t>
        </is>
      </c>
      <c r="E18" s="15" t="inlineStr">
        <is>
          <t>Teak</t>
        </is>
      </c>
      <c r="F18" s="17" t="n">
        <v>1</v>
      </c>
      <c r="G18" s="18" t="n">
        <v>21000</v>
      </c>
      <c r="H18" s="18">
        <f>F18*G18</f>
        <v/>
      </c>
    </row>
    <row r="19" ht="17" customHeight="1">
      <c r="A19" s="14" t="n">
        <v>9</v>
      </c>
      <c r="B19" s="15" t="inlineStr">
        <is>
          <t>Dining</t>
        </is>
      </c>
      <c r="C19" s="16" t="inlineStr">
        <is>
          <t>Chair 44 C1</t>
        </is>
      </c>
      <c r="D19" s="15" t="inlineStr">
        <is>
          <t>45 x 52 x 79 cm (H)  ·  SH-45cm</t>
        </is>
      </c>
      <c r="E19" s="15" t="inlineStr">
        <is>
          <t>Teak + Fabric</t>
        </is>
      </c>
      <c r="F19" s="17" t="n">
        <v>6</v>
      </c>
      <c r="G19" s="18" t="n">
        <v>20000</v>
      </c>
      <c r="H19" s="18">
        <f>F19*G19</f>
        <v/>
      </c>
    </row>
    <row r="20" ht="17" customHeight="1">
      <c r="A20" s="14" t="n">
        <v>10</v>
      </c>
      <c r="B20" s="15" t="inlineStr">
        <is>
          <t>Dining</t>
        </is>
      </c>
      <c r="C20" s="16" t="inlineStr">
        <is>
          <t>Dining Table 03 A1</t>
        </is>
      </c>
      <c r="D20" s="15" t="inlineStr">
        <is>
          <t>198 x 92 x 75 cm (H)</t>
        </is>
      </c>
      <c r="E20" s="15" t="inlineStr">
        <is>
          <t>Teak</t>
        </is>
      </c>
      <c r="F20" s="17" t="n">
        <v>1</v>
      </c>
      <c r="G20" s="18" t="n">
        <v>78000</v>
      </c>
      <c r="H20" s="18">
        <f>F20*G20</f>
        <v/>
      </c>
    </row>
    <row r="21" ht="17" customHeight="1">
      <c r="A21" s="14" t="n">
        <v>11</v>
      </c>
      <c r="B21" s="15" t="inlineStr">
        <is>
          <t>Dining</t>
        </is>
      </c>
      <c r="C21" s="16" t="inlineStr">
        <is>
          <t>Storage 29 C2</t>
        </is>
      </c>
      <c r="D21" s="15" t="inlineStr">
        <is>
          <t>149 x 42 x 181 cm (H)</t>
        </is>
      </c>
      <c r="E21" s="15" t="inlineStr">
        <is>
          <t>Teak</t>
        </is>
      </c>
      <c r="F21" s="17" t="n">
        <v>1</v>
      </c>
      <c r="G21" s="18" t="n">
        <v>162000</v>
      </c>
      <c r="H21" s="18">
        <f>F21*G21</f>
        <v/>
      </c>
    </row>
    <row r="22" ht="19" customHeight="1">
      <c r="A22" s="12" t="inlineStr">
        <is>
          <t>GROUND FLOOR BALCONY</t>
        </is>
      </c>
      <c r="B22" s="13" t="n"/>
      <c r="C22" s="13" t="n"/>
      <c r="D22" s="13" t="n"/>
      <c r="E22" s="13" t="n"/>
      <c r="F22" s="13" t="n"/>
      <c r="G22" s="13" t="n"/>
      <c r="H22" s="13" t="n"/>
    </row>
    <row r="23" ht="17" customHeight="1">
      <c r="A23" s="14" t="n">
        <v>12</v>
      </c>
      <c r="B23" s="15" t="inlineStr">
        <is>
          <t>Ground Floor Balcony</t>
        </is>
      </c>
      <c r="C23" s="16" t="inlineStr">
        <is>
          <t>Centre Table 02 A1</t>
        </is>
      </c>
      <c r="D23" s="15" t="inlineStr">
        <is>
          <t>76 x 76 x 36 cm (H)</t>
        </is>
      </c>
      <c r="E23" s="15" t="inlineStr">
        <is>
          <t>Teak</t>
        </is>
      </c>
      <c r="F23" s="17" t="n">
        <v>1</v>
      </c>
      <c r="G23" s="18" t="n">
        <v>22000</v>
      </c>
      <c r="H23" s="18">
        <f>F23*G23</f>
        <v/>
      </c>
    </row>
    <row r="24" ht="17" customHeight="1">
      <c r="A24" s="14" t="n">
        <v>13</v>
      </c>
      <c r="B24" s="15" t="inlineStr">
        <is>
          <t>Ground Floor Balcony</t>
        </is>
      </c>
      <c r="C24" s="16" t="inlineStr">
        <is>
          <t>Chair 27 A1</t>
        </is>
      </c>
      <c r="D24" s="15" t="inlineStr">
        <is>
          <t>67 x 77 x 70 cm (H)  ·  SH-37cm</t>
        </is>
      </c>
      <c r="E24" s="15" t="inlineStr">
        <is>
          <t>Teak</t>
        </is>
      </c>
      <c r="F24" s="17" t="n">
        <v>2</v>
      </c>
      <c r="G24" s="18" t="n">
        <v>26000</v>
      </c>
      <c r="H24" s="18">
        <f>F24*G24</f>
        <v/>
      </c>
    </row>
    <row r="25" ht="19" customHeight="1">
      <c r="A25" s="12" t="inlineStr">
        <is>
          <t>BREAKFAST COUNTER</t>
        </is>
      </c>
      <c r="B25" s="13" t="n"/>
      <c r="C25" s="13" t="n"/>
      <c r="D25" s="13" t="n"/>
      <c r="E25" s="13" t="n"/>
      <c r="F25" s="13" t="n"/>
      <c r="G25" s="13" t="n"/>
      <c r="H25" s="13" t="n"/>
    </row>
    <row r="26" ht="17" customHeight="1">
      <c r="A26" s="14" t="n">
        <v>14</v>
      </c>
      <c r="B26" s="15" t="inlineStr">
        <is>
          <t>Breakfast Counter</t>
        </is>
      </c>
      <c r="C26" s="16" t="inlineStr">
        <is>
          <t>Barstool 01 B1</t>
        </is>
      </c>
      <c r="D26" s="15" t="inlineStr">
        <is>
          <t>48 x 50 x 100 cm (H)  ·  SH-75cm</t>
        </is>
      </c>
      <c r="E26" s="15" t="inlineStr">
        <is>
          <t>Teak + Fabric</t>
        </is>
      </c>
      <c r="F26" s="17" t="n">
        <v>1</v>
      </c>
      <c r="G26" s="18" t="n">
        <v>19000</v>
      </c>
      <c r="H26" s="18">
        <f>F26*G26</f>
        <v/>
      </c>
    </row>
    <row r="27" ht="17" customHeight="1">
      <c r="A27" s="14" t="n">
        <v>15</v>
      </c>
      <c r="B27" s="15" t="inlineStr">
        <is>
          <t>Breakfast Counter</t>
        </is>
      </c>
      <c r="C27" s="16" t="inlineStr">
        <is>
          <t>Barstool 03 A1</t>
        </is>
      </c>
      <c r="D27" s="15" t="inlineStr">
        <is>
          <t>40 x 44 x 101 cm (H)  ·  SH-75cm</t>
        </is>
      </c>
      <c r="E27" s="15" t="inlineStr">
        <is>
          <t>Teak + Fabric</t>
        </is>
      </c>
      <c r="F27" s="17" t="n">
        <v>1</v>
      </c>
      <c r="G27" s="18" t="n">
        <v>20000</v>
      </c>
      <c r="H27" s="18">
        <f>F27*G27</f>
        <v/>
      </c>
    </row>
    <row r="28" ht="17" customHeight="1">
      <c r="A28" s="14" t="n">
        <v>16</v>
      </c>
      <c r="B28" s="15" t="inlineStr">
        <is>
          <t>Breakfast Counter</t>
        </is>
      </c>
      <c r="C28" s="16" t="inlineStr">
        <is>
          <t>Barstool 11 A1</t>
        </is>
      </c>
      <c r="D28" s="15" t="inlineStr">
        <is>
          <t>55 x 54 x 102 cm (H)  ·  SH-75cm</t>
        </is>
      </c>
      <c r="E28" s="15" t="inlineStr">
        <is>
          <t>Teak + Fabric</t>
        </is>
      </c>
      <c r="F28" s="17" t="n">
        <v>1</v>
      </c>
      <c r="G28" s="18" t="n">
        <v>27000</v>
      </c>
      <c r="H28" s="18">
        <f>F28*G28</f>
        <v/>
      </c>
    </row>
    <row r="29" ht="19" customHeight="1">
      <c r="A29" s="12" t="inlineStr">
        <is>
          <t>BEDROOM 01</t>
        </is>
      </c>
      <c r="B29" s="13" t="n"/>
      <c r="C29" s="13" t="n"/>
      <c r="D29" s="13" t="n"/>
      <c r="E29" s="13" t="n"/>
      <c r="F29" s="13" t="n"/>
      <c r="G29" s="13" t="n"/>
      <c r="H29" s="13" t="n"/>
    </row>
    <row r="30" ht="17" customHeight="1">
      <c r="A30" s="14" t="n">
        <v>17</v>
      </c>
      <c r="B30" s="15" t="inlineStr">
        <is>
          <t>Bedroom 01</t>
        </is>
      </c>
      <c r="C30" s="16" t="inlineStr">
        <is>
          <t>Bed 01 A1</t>
        </is>
      </c>
      <c r="D30" s="15" t="inlineStr">
        <is>
          <t>194 x 210 x 92 cm (H)  ·  MH-50cm</t>
        </is>
      </c>
      <c r="E30" s="15" t="inlineStr">
        <is>
          <t>Teak</t>
        </is>
      </c>
      <c r="F30" s="17" t="n">
        <v>1</v>
      </c>
      <c r="G30" s="18" t="n">
        <v>105000</v>
      </c>
      <c r="H30" s="18">
        <f>F30*G30</f>
        <v/>
      </c>
    </row>
    <row r="31" ht="17" customHeight="1">
      <c r="A31" s="14" t="n">
        <v>18</v>
      </c>
      <c r="B31" s="15" t="inlineStr">
        <is>
          <t>Bedroom 01</t>
        </is>
      </c>
      <c r="C31" s="16" t="inlineStr">
        <is>
          <t>Side Table 08 B1</t>
        </is>
      </c>
      <c r="D31" s="15" t="inlineStr">
        <is>
          <t>56 x 40 x 45 cm (H)</t>
        </is>
      </c>
      <c r="E31" s="15" t="inlineStr">
        <is>
          <t>Teak</t>
        </is>
      </c>
      <c r="F31" s="17" t="n">
        <v>2</v>
      </c>
      <c r="G31" s="18" t="n">
        <v>33000</v>
      </c>
      <c r="H31" s="18">
        <f>F31*G31</f>
        <v/>
      </c>
    </row>
    <row r="32" ht="17" customHeight="1">
      <c r="A32" s="14" t="n">
        <v>19</v>
      </c>
      <c r="B32" s="15" t="inlineStr">
        <is>
          <t>Bedroom 01</t>
        </is>
      </c>
      <c r="C32" s="16" t="inlineStr">
        <is>
          <t>Storage 16 A1</t>
        </is>
      </c>
      <c r="D32" s="15" t="inlineStr">
        <is>
          <t>150 x 42 x 80 cm (H)</t>
        </is>
      </c>
      <c r="E32" s="15" t="inlineStr">
        <is>
          <t>Teak</t>
        </is>
      </c>
      <c r="F32" s="17" t="n">
        <v>1</v>
      </c>
      <c r="G32" s="18" t="n">
        <v>88000</v>
      </c>
      <c r="H32" s="18">
        <f>F32*G32</f>
        <v/>
      </c>
    </row>
    <row r="33" ht="19" customHeight="1">
      <c r="A33" s="12" t="inlineStr">
        <is>
          <t>BEDROOM 02</t>
        </is>
      </c>
      <c r="B33" s="13" t="n"/>
      <c r="C33" s="13" t="n"/>
      <c r="D33" s="13" t="n"/>
      <c r="E33" s="13" t="n"/>
      <c r="F33" s="13" t="n"/>
      <c r="G33" s="13" t="n"/>
      <c r="H33" s="13" t="n"/>
    </row>
    <row r="34" ht="17" customHeight="1">
      <c r="A34" s="14" t="n">
        <v>20</v>
      </c>
      <c r="B34" s="15" t="inlineStr">
        <is>
          <t>Bedroom 02</t>
        </is>
      </c>
      <c r="C34" s="16" t="inlineStr">
        <is>
          <t>Bed 27 B1</t>
        </is>
      </c>
      <c r="D34" s="15" t="inlineStr">
        <is>
          <t>281 x 215 x 110 cm (H)  ·  MH-48cm</t>
        </is>
      </c>
      <c r="E34" s="15" t="inlineStr">
        <is>
          <t>Teak + Fabric</t>
        </is>
      </c>
      <c r="F34" s="17" t="n">
        <v>1</v>
      </c>
      <c r="G34" s="18" t="n">
        <v>135000</v>
      </c>
      <c r="H34" s="18">
        <f>F34*G34</f>
        <v/>
      </c>
    </row>
    <row r="35" ht="19" customHeight="1">
      <c r="A35" s="12" t="inlineStr">
        <is>
          <t>BEDROOM 03</t>
        </is>
      </c>
      <c r="B35" s="13" t="n"/>
      <c r="C35" s="13" t="n"/>
      <c r="D35" s="13" t="n"/>
      <c r="E35" s="13" t="n"/>
      <c r="F35" s="13" t="n"/>
      <c r="G35" s="13" t="n"/>
      <c r="H35" s="13" t="n"/>
    </row>
    <row r="36" ht="17" customHeight="1">
      <c r="A36" s="14" t="n">
        <v>21</v>
      </c>
      <c r="B36" s="15" t="inlineStr">
        <is>
          <t>Bedroom 03</t>
        </is>
      </c>
      <c r="C36" s="16" t="inlineStr">
        <is>
          <t>Bed 47 A1</t>
        </is>
      </c>
      <c r="D36" s="15" t="inlineStr">
        <is>
          <t>196 x 208 x 112 cm (H)  ·  MH-50cm</t>
        </is>
      </c>
      <c r="E36" s="15" t="inlineStr">
        <is>
          <t>Teak + Fabric</t>
        </is>
      </c>
      <c r="F36" s="17" t="n">
        <v>1</v>
      </c>
      <c r="G36" s="18" t="n">
        <v>103000</v>
      </c>
      <c r="H36" s="18">
        <f>F36*G36</f>
        <v/>
      </c>
    </row>
    <row r="37" ht="17" customHeight="1">
      <c r="A37" s="14" t="n">
        <v>22</v>
      </c>
      <c r="B37" s="15" t="inlineStr">
        <is>
          <t>Bedroom 03</t>
        </is>
      </c>
      <c r="C37" s="16" t="inlineStr">
        <is>
          <t>Side Table 42 A1</t>
        </is>
      </c>
      <c r="D37" s="15" t="inlineStr">
        <is>
          <t>46 x 41 x 46 cm (H)</t>
        </is>
      </c>
      <c r="E37" s="15" t="inlineStr">
        <is>
          <t>Teak</t>
        </is>
      </c>
      <c r="F37" s="17" t="n">
        <v>2</v>
      </c>
      <c r="G37" s="18" t="n">
        <v>30000</v>
      </c>
      <c r="H37" s="18">
        <f>F37*G37</f>
        <v/>
      </c>
    </row>
    <row r="38" ht="17" customHeight="1">
      <c r="A38" s="14" t="n">
        <v>23</v>
      </c>
      <c r="B38" s="15" t="inlineStr">
        <is>
          <t>Bedroom 03</t>
        </is>
      </c>
      <c r="C38" s="16" t="inlineStr">
        <is>
          <t>TV Console 09 A1</t>
        </is>
      </c>
      <c r="D38" s="15" t="inlineStr">
        <is>
          <t>159 x 45 x 45 cm (H)</t>
        </is>
      </c>
      <c r="E38" s="15" t="inlineStr">
        <is>
          <t>Teak</t>
        </is>
      </c>
      <c r="F38" s="17" t="n">
        <v>1</v>
      </c>
      <c r="G38" s="18" t="n">
        <v>70000</v>
      </c>
      <c r="H38" s="18">
        <f>F38*G38</f>
        <v/>
      </c>
    </row>
    <row r="39" ht="19" customHeight="1">
      <c r="A39" s="12" t="inlineStr">
        <is>
          <t>MASTER BEDROOM</t>
        </is>
      </c>
      <c r="B39" s="13" t="n"/>
      <c r="C39" s="13" t="n"/>
      <c r="D39" s="13" t="n"/>
      <c r="E39" s="13" t="n"/>
      <c r="F39" s="13" t="n"/>
      <c r="G39" s="13" t="n"/>
      <c r="H39" s="13" t="n"/>
    </row>
    <row r="40" ht="17" customHeight="1">
      <c r="A40" s="14" t="n">
        <v>24</v>
      </c>
      <c r="B40" s="15" t="inlineStr">
        <is>
          <t>Master Bedroom</t>
        </is>
      </c>
      <c r="C40" s="16" t="inlineStr">
        <is>
          <t>Bed 04 A1</t>
        </is>
      </c>
      <c r="D40" s="15" t="inlineStr">
        <is>
          <t>204 x 220 x 197 cm (H)  ·  MH-48cm</t>
        </is>
      </c>
      <c r="E40" s="15" t="inlineStr">
        <is>
          <t>Teak + Fabric</t>
        </is>
      </c>
      <c r="F40" s="17" t="n">
        <v>1</v>
      </c>
      <c r="G40" s="18" t="n">
        <v>117000</v>
      </c>
      <c r="H40" s="18">
        <f>F40*G40</f>
        <v/>
      </c>
    </row>
    <row r="41" ht="17" customHeight="1">
      <c r="A41" s="14" t="n">
        <v>25</v>
      </c>
      <c r="B41" s="15" t="inlineStr">
        <is>
          <t>Master Bedroom</t>
        </is>
      </c>
      <c r="C41" s="16" t="inlineStr">
        <is>
          <t>Bench 03 A1</t>
        </is>
      </c>
      <c r="D41" s="15" t="inlineStr">
        <is>
          <t>141 x 38 x 45 cm (H)</t>
        </is>
      </c>
      <c r="E41" s="15" t="inlineStr">
        <is>
          <t>Teak + Fabric</t>
        </is>
      </c>
      <c r="F41" s="17" t="n">
        <v>1</v>
      </c>
      <c r="G41" s="18" t="n">
        <v>25000</v>
      </c>
      <c r="H41" s="18">
        <f>F41*G41</f>
        <v/>
      </c>
    </row>
    <row r="42" ht="17" customHeight="1">
      <c r="A42" s="14" t="n">
        <v>26</v>
      </c>
      <c r="B42" s="15" t="inlineStr">
        <is>
          <t>Master Bedroom</t>
        </is>
      </c>
      <c r="C42" s="16" t="inlineStr">
        <is>
          <t>Chair 07 A1</t>
        </is>
      </c>
      <c r="D42" s="15" t="inlineStr">
        <is>
          <t>60 x 60 x 84 cm (H)  ·  SH-45cm</t>
        </is>
      </c>
      <c r="E42" s="15" t="inlineStr">
        <is>
          <t>Teak + Cane</t>
        </is>
      </c>
      <c r="F42" s="17" t="n">
        <v>1</v>
      </c>
      <c r="G42" s="18" t="n">
        <v>31000</v>
      </c>
      <c r="H42" s="18">
        <f>F42*G42</f>
        <v/>
      </c>
    </row>
    <row r="43" ht="17" customHeight="1">
      <c r="A43" s="14" t="n">
        <v>27</v>
      </c>
      <c r="B43" s="15" t="inlineStr">
        <is>
          <t>Master Bedroom</t>
        </is>
      </c>
      <c r="C43" s="16" t="inlineStr">
        <is>
          <t>Chair 42 A1</t>
        </is>
      </c>
      <c r="D43" s="15" t="inlineStr">
        <is>
          <t>62 x 76 x 82 cm (H)  ·  SH-41cm</t>
        </is>
      </c>
      <c r="E43" s="15" t="inlineStr">
        <is>
          <t>Teak + Fabric</t>
        </is>
      </c>
      <c r="F43" s="17" t="n">
        <v>1</v>
      </c>
      <c r="G43" s="18" t="n">
        <v>38000</v>
      </c>
      <c r="H43" s="18">
        <f>F43*G43</f>
        <v/>
      </c>
    </row>
    <row r="44" ht="17" customHeight="1">
      <c r="A44" s="14" t="n">
        <v>28</v>
      </c>
      <c r="B44" s="15" t="inlineStr">
        <is>
          <t>Master Bedroom</t>
        </is>
      </c>
      <c r="C44" s="16" t="inlineStr">
        <is>
          <t>Side Table 01 A1</t>
        </is>
      </c>
      <c r="D44" s="15" t="inlineStr">
        <is>
          <t>48 x 48 x 49 cm (H)</t>
        </is>
      </c>
      <c r="E44" s="15" t="inlineStr">
        <is>
          <t>Teak</t>
        </is>
      </c>
      <c r="F44" s="17" t="n">
        <v>2</v>
      </c>
      <c r="G44" s="18" t="n">
        <v>21000</v>
      </c>
      <c r="H44" s="18">
        <f>F44*G44</f>
        <v/>
      </c>
    </row>
    <row r="45" ht="17" customHeight="1">
      <c r="A45" s="14" t="n">
        <v>29</v>
      </c>
      <c r="B45" s="15" t="inlineStr">
        <is>
          <t>Master Bedroom</t>
        </is>
      </c>
      <c r="C45" s="16" t="inlineStr">
        <is>
          <t>Storage 34 A1</t>
        </is>
      </c>
      <c r="D45" s="15" t="inlineStr">
        <is>
          <t>146 x 40 x 92 cm (H)</t>
        </is>
      </c>
      <c r="E45" s="15" t="inlineStr">
        <is>
          <t>Teak</t>
        </is>
      </c>
      <c r="F45" s="17" t="n">
        <v>1</v>
      </c>
      <c r="G45" s="18" t="n">
        <v>88000</v>
      </c>
      <c r="H45" s="18">
        <f>F45*G45</f>
        <v/>
      </c>
    </row>
    <row r="46" ht="17" customHeight="1">
      <c r="A46" s="14" t="n">
        <v>30</v>
      </c>
      <c r="B46" s="15" t="inlineStr">
        <is>
          <t>Master Bedroom</t>
        </is>
      </c>
      <c r="C46" s="16" t="inlineStr">
        <is>
          <t>Study Table 11 A1</t>
        </is>
      </c>
      <c r="D46" s="15" t="inlineStr">
        <is>
          <t>130 x 60 x 75 cm (H)</t>
        </is>
      </c>
      <c r="E46" s="15" t="inlineStr">
        <is>
          <t>Teak</t>
        </is>
      </c>
      <c r="F46" s="17" t="n">
        <v>1</v>
      </c>
      <c r="G46" s="18" t="n">
        <v>55000</v>
      </c>
      <c r="H46" s="18">
        <f>F46*G46</f>
        <v/>
      </c>
    </row>
    <row r="47" ht="19" customHeight="1">
      <c r="A47" s="12" t="inlineStr">
        <is>
          <t>FIRST FLOOR BALCONY</t>
        </is>
      </c>
      <c r="B47" s="13" t="n"/>
      <c r="C47" s="13" t="n"/>
      <c r="D47" s="13" t="n"/>
      <c r="E47" s="13" t="n"/>
      <c r="F47" s="13" t="n"/>
      <c r="G47" s="13" t="n"/>
      <c r="H47" s="13" t="n"/>
    </row>
    <row r="48" ht="17" customHeight="1">
      <c r="A48" s="14" t="n">
        <v>31</v>
      </c>
      <c r="B48" s="15" t="inlineStr">
        <is>
          <t>First Floor Balcony</t>
        </is>
      </c>
      <c r="C48" s="16" t="inlineStr">
        <is>
          <t>Chair 42 A1</t>
        </is>
      </c>
      <c r="D48" s="15" t="inlineStr">
        <is>
          <t>62 x 76 x 82 cm (H)  ·  SH-41cm</t>
        </is>
      </c>
      <c r="E48" s="15" t="inlineStr">
        <is>
          <t>Teak + Fabric</t>
        </is>
      </c>
      <c r="F48" s="17" t="n">
        <v>2</v>
      </c>
      <c r="G48" s="18" t="n">
        <v>38000</v>
      </c>
      <c r="H48" s="18">
        <f>F48*G48</f>
        <v/>
      </c>
    </row>
    <row r="49" ht="17" customHeight="1">
      <c r="A49" s="14" t="n">
        <v>32</v>
      </c>
      <c r="B49" s="15" t="inlineStr">
        <is>
          <t>First Floor Balcony</t>
        </is>
      </c>
      <c r="C49" s="16" t="inlineStr">
        <is>
          <t>Side Table 02 A1</t>
        </is>
      </c>
      <c r="D49" s="15" t="inlineStr">
        <is>
          <t>40 x 40 x 53 cm (H)</t>
        </is>
      </c>
      <c r="E49" s="15" t="inlineStr">
        <is>
          <t>Teak</t>
        </is>
      </c>
      <c r="F49" s="17" t="n">
        <v>1</v>
      </c>
      <c r="G49" s="18" t="n">
        <v>11000</v>
      </c>
      <c r="H49" s="18">
        <f>F49*G49</f>
        <v/>
      </c>
    </row>
    <row r="51" ht="19" customHeight="1">
      <c r="F51" s="19" t="inlineStr">
        <is>
          <t>Total</t>
        </is>
      </c>
      <c r="H51" s="20">
        <f>SUM(H9:H49)</f>
        <v/>
      </c>
    </row>
    <row r="52" ht="19" customHeight="1">
      <c r="F52" s="19" t="inlineStr">
        <is>
          <t>Tax @ 18%</t>
        </is>
      </c>
      <c r="H52" s="20">
        <f>ROUND(H51*0.18,0)</f>
        <v/>
      </c>
    </row>
    <row r="53" ht="22" customHeight="1">
      <c r="F53" s="21" t="inlineStr">
        <is>
          <t>Grand Total</t>
        </is>
      </c>
      <c r="G53" s="22" t="n"/>
      <c r="H53" s="23">
        <f>H51+H52</f>
        <v/>
      </c>
    </row>
    <row r="56">
      <c r="A56" s="24" t="inlineStr">
        <is>
          <t>TERMS &amp; CONDITIONS</t>
        </is>
      </c>
    </row>
    <row r="57" ht="16" customHeight="1">
      <c r="A57" s="2" t="inlineStr">
        <is>
          <t>·   The quote is as per the design approved, and will vary if the design and the material specification changes.</t>
        </is>
      </c>
    </row>
    <row r="58" ht="16" customHeight="1">
      <c r="A58" s="2" t="inlineStr">
        <is>
          <t>·   50% of the invoice amount to be paid in advance and 50% before delivery.</t>
        </is>
      </c>
    </row>
    <row r="59" ht="16" customHeight="1">
      <c r="A59" s="2" t="inlineStr">
        <is>
          <t>·   The quote is applicable only for a period of 30 days from the date of issue.</t>
        </is>
      </c>
    </row>
    <row r="60" ht="16" customHeight="1">
      <c r="A60" s="2" t="inlineStr">
        <is>
          <t>·   Rates are starting prices in teak. Other wood species, fabrics, leathers and finishes are priced on request.</t>
        </is>
      </c>
    </row>
    <row r="61" ht="16" customHeight="1">
      <c r="A61" s="2" t="inlineStr">
        <is>
          <t>·   Quantities are per the approved layout. Please confirm before we proceed to production.</t>
        </is>
      </c>
    </row>
    <row r="63">
      <c r="A63" s="25" t="inlineStr">
        <is>
          <t>All rates sourced live from GE Kochi Product Prices.xlsx (Sheet5). Amounts are formula-linked — edit Qty and totals recalculate.</t>
        </is>
      </c>
    </row>
  </sheetData>
  <mergeCells count="26">
    <mergeCell ref="A9:H9"/>
    <mergeCell ref="A39:H39"/>
    <mergeCell ref="A59:H59"/>
    <mergeCell ref="A60:H60"/>
    <mergeCell ref="A1:H1"/>
    <mergeCell ref="A61:H61"/>
    <mergeCell ref="A25:H25"/>
    <mergeCell ref="A5:F5"/>
    <mergeCell ref="A16:H16"/>
    <mergeCell ref="F51:G51"/>
    <mergeCell ref="G6:H6"/>
    <mergeCell ref="A56:H56"/>
    <mergeCell ref="A3:H3"/>
    <mergeCell ref="A57:H57"/>
    <mergeCell ref="A2:H2"/>
    <mergeCell ref="G5:H5"/>
    <mergeCell ref="A33:H33"/>
    <mergeCell ref="A47:H47"/>
    <mergeCell ref="F52:G52"/>
    <mergeCell ref="A22:H22"/>
    <mergeCell ref="A29:H29"/>
    <mergeCell ref="A35:H35"/>
    <mergeCell ref="A63:H63"/>
    <mergeCell ref="A6:F6"/>
    <mergeCell ref="A58:H58"/>
    <mergeCell ref="F53:G53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2026-07-24T18:23:41Z</dcterms:created>
  <dcterms:modified xsi:type="dcterms:W3CDTF">2026-07-24T18:23:41Z</dcterms:modified>
</cp:coreProperties>
</file>